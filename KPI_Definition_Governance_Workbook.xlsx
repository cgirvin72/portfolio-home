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PI Catalog" sheetId="1" state="visible" r:id="rId3"/>
    <sheet name="Sample Calculations" sheetId="2" state="visible" r:id="rId4"/>
    <sheet name="Monthly Trend" sheetId="3" state="visible" r:id="rId5"/>
    <sheet name="Notes &amp; Methodolog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<sst xmlns="http://schemas.openxmlformats.org/spreadsheetml/2006/main" count="295" uniqueCount="165">
  <si>
    <t xml:space="preserve">Consulting Operations KPI Catalog</t>
  </si>
  <si>
    <t xml:space="preserve">Metric definitions, calculation logic, data source, ownership, and reporting cadence | Synthetic representative framework</t>
  </si>
  <si>
    <t xml:space="preserve">Category</t>
  </si>
  <si>
    <t xml:space="preserve">Metric</t>
  </si>
  <si>
    <t xml:space="preserve">Definition</t>
  </si>
  <si>
    <t xml:space="preserve">Calculation</t>
  </si>
  <si>
    <t xml:space="preserve">Data Source</t>
  </si>
  <si>
    <t xml:space="preserve">Owner</t>
  </si>
  <si>
    <t xml:space="preserve">Cadence</t>
  </si>
  <si>
    <t xml:space="preserve">Priority</t>
  </si>
  <si>
    <t xml:space="preserve">Revenue</t>
  </si>
  <si>
    <t xml:space="preserve">Bookings</t>
  </si>
  <si>
    <t xml:space="preserve">Signed contracts representing new committed business</t>
  </si>
  <si>
    <t xml:space="preserve">Signed PS Agreement + Signed SOW + Purchase Order</t>
  </si>
  <si>
    <t xml:space="preserve">CRM</t>
  </si>
  <si>
    <t xml:space="preserve">Sales Ops</t>
  </si>
  <si>
    <t xml:space="preserve">Weekly</t>
  </si>
  <si>
    <t xml:space="preserve">P1</t>
  </si>
  <si>
    <t xml:space="preserve">Backlog</t>
  </si>
  <si>
    <t xml:space="preserve">Total value of contract commitments not yet delivered</t>
  </si>
  <si>
    <t xml:space="preserve">Prior Period Backlog + Current Period Bookings − Current Period Revenue</t>
  </si>
  <si>
    <t xml:space="preserve">CRM / Finance</t>
  </si>
  <si>
    <t xml:space="preserve">Revenue Ops</t>
  </si>
  <si>
    <t xml:space="preserve">Billings</t>
  </si>
  <si>
    <t xml:space="preserve">Completed, accepted work that can be invoiced</t>
  </si>
  <si>
    <t xml:space="preserve">T&amp;M Hours + Work-in-Process + Milestone Deliverables Billed</t>
  </si>
  <si>
    <t xml:space="preserve">PSA System</t>
  </si>
  <si>
    <t xml:space="preserve">Finance</t>
  </si>
  <si>
    <t xml:space="preserve">Revenue (Actual vs. Target)</t>
  </si>
  <si>
    <t xml:space="preserve">Recognized billings plus re-billable travel and expense, compared to plan</t>
  </si>
  <si>
    <t xml:space="preserve">Billings Recognized + Re-billable T&amp;E, vs. Budget</t>
  </si>
  <si>
    <t xml:space="preserve">FP&amp;A</t>
  </si>
  <si>
    <t xml:space="preserve">Monthly</t>
  </si>
  <si>
    <t xml:space="preserve">Rate Card Variance</t>
  </si>
  <si>
    <t xml:space="preserve">Contracts sold below approved rate card</t>
  </si>
  <si>
    <t xml:space="preserve">Contract Rate − Rate Card Rate, flagged if negative</t>
  </si>
  <si>
    <t xml:space="preserve">P2</t>
  </si>
  <si>
    <t xml:space="preserve">Hours Allocation Variance</t>
  </si>
  <si>
    <t xml:space="preserve">Planned delivery hours vs. actual delivered</t>
  </si>
  <si>
    <t xml:space="preserve">Planned Billable Hours − Actual Billable Hours</t>
  </si>
  <si>
    <t xml:space="preserve">Delivery Ops</t>
  </si>
  <si>
    <t xml:space="preserve">Margin</t>
  </si>
  <si>
    <t xml:space="preserve">Gross Margin %</t>
  </si>
  <si>
    <t xml:space="preserve">Profit generated per dollar of service delivered</t>
  </si>
  <si>
    <t xml:space="preserve">(Total Services Revenue − Cost of Services Delivered) / Total Services Revenue</t>
  </si>
  <si>
    <t xml:space="preserve">Labor Margin %</t>
  </si>
  <si>
    <t xml:space="preserve">Margin generated per dollar of billable labor cost</t>
  </si>
  <si>
    <t xml:space="preserve">(Total Services Revenue − Total Labor Cost) / Total Services Revenue</t>
  </si>
  <si>
    <t xml:space="preserve">Subcontractor Margin %</t>
  </si>
  <si>
    <t xml:space="preserve">Margin generated on third-party / subcontracted delivery</t>
  </si>
  <si>
    <t xml:space="preserve">(Total Services Revenue − Subcontractor Labor Cost) / Total Services Revenue</t>
  </si>
  <si>
    <t xml:space="preserve">Contribution Margin %</t>
  </si>
  <si>
    <t xml:space="preserve">Margin available after variable costs, before fixed overhead allocation</t>
  </si>
  <si>
    <t xml:space="preserve">(Total Services Revenue − Total Variable Cost) / Total Services Revenue</t>
  </si>
  <si>
    <t xml:space="preserve">Workforce</t>
  </si>
  <si>
    <t xml:space="preserve">Billable Utilization %</t>
  </si>
  <si>
    <t xml:space="preserve">Share of available hours spent on billable work</t>
  </si>
  <si>
    <t xml:space="preserve">Billable Hours / (Total Available Hours − Vacation/Holiday)</t>
  </si>
  <si>
    <t xml:space="preserve">Resource Mgmt</t>
  </si>
  <si>
    <t xml:space="preserve">Effective Utilization %</t>
  </si>
  <si>
    <t xml:space="preserve">Billable hours plus approved non-billable hours (pre-sales, CSAT, special projects)</t>
  </si>
  <si>
    <t xml:space="preserve">(Billable Hours + Approved Non-Billable Hours) / Total Available Hours</t>
  </si>
  <si>
    <t xml:space="preserve">Billable Headcount</t>
  </si>
  <si>
    <t xml:space="preserve">Consultants designated billable in the current period</t>
  </si>
  <si>
    <t xml:space="preserve">Count of active billable-designated staff</t>
  </si>
  <si>
    <t xml:space="preserve">HRIS</t>
  </si>
  <si>
    <t xml:space="preserve">Bill Rate by Skill Level</t>
  </si>
  <si>
    <t xml:space="preserve">Average billable rate achieved, segmented by consultant level</t>
  </si>
  <si>
    <t xml:space="preserve">SUM(Billed Revenue) / SUM(Billable Hours), by skill tier</t>
  </si>
  <si>
    <t xml:space="preserve">Cost per Person</t>
  </si>
  <si>
    <t xml:space="preserve">Fully loaded cost per consultant</t>
  </si>
  <si>
    <t xml:space="preserve">Base Salary + Fringe (25%) + Bonus</t>
  </si>
  <si>
    <t xml:space="preserve">HRIS / Finance</t>
  </si>
  <si>
    <t xml:space="preserve">Quarterly</t>
  </si>
  <si>
    <t xml:space="preserve">P3</t>
  </si>
  <si>
    <t xml:space="preserve">Attrition %</t>
  </si>
  <si>
    <t xml:space="preserve">Voluntary plus involuntary attrition relative to headcount</t>
  </si>
  <si>
    <t xml:space="preserve">(Voluntary Attrition + Involuntary Attrition) / Beginning Headcount</t>
  </si>
  <si>
    <t xml:space="preserve">HR Ops</t>
  </si>
  <si>
    <t xml:space="preserve">Project Health</t>
  </si>
  <si>
    <t xml:space="preserve">Schedule Variance (SV)</t>
  </si>
  <si>
    <t xml:space="preserve">Earned value relative to planned value; negative = behind schedule</t>
  </si>
  <si>
    <t xml:space="preserve">Earned Value (EV) − Planned Value (PV)</t>
  </si>
  <si>
    <t xml:space="preserve">PMO</t>
  </si>
  <si>
    <t xml:space="preserve">Cost Variance (CV)</t>
  </si>
  <si>
    <t xml:space="preserve">Earned value relative to actual cost; negative = over budget</t>
  </si>
  <si>
    <t xml:space="preserve">Earned Value (EV) − Actual Cost (AC)</t>
  </si>
  <si>
    <t xml:space="preserve">Cost Performance Index (CPI)</t>
  </si>
  <si>
    <t xml:space="preserve">Efficiency of budget spend relative to work completed</t>
  </si>
  <si>
    <t xml:space="preserve">Earned Value (EV) / Actual Cost (AC)</t>
  </si>
  <si>
    <t xml:space="preserve">Schedule Performance Index (SPI)</t>
  </si>
  <si>
    <t xml:space="preserve">Efficiency of schedule progress relative to plan</t>
  </si>
  <si>
    <t xml:space="preserve">Earned Value (EV) / Planned Value (PV)</t>
  </si>
  <si>
    <t xml:space="preserve">Estimate at Completion (EAC)</t>
  </si>
  <si>
    <t xml:space="preserve">Forecasted total project cost based on current performance</t>
  </si>
  <si>
    <t xml:space="preserve">Budget at Completion (BAC) / CPI</t>
  </si>
  <si>
    <t xml:space="preserve">Client Satisfaction</t>
  </si>
  <si>
    <t xml:space="preserve">Portfolio Health</t>
  </si>
  <si>
    <t xml:space="preserve">Composite view of active project status across the book of business</t>
  </si>
  <si>
    <t xml:space="preserve">Weighted RAG status across active projects, by revenue at risk</t>
  </si>
  <si>
    <t xml:space="preserve">PMO / CRM</t>
  </si>
  <si>
    <t xml:space="preserve">Engagement Mgmt</t>
  </si>
  <si>
    <t xml:space="preserve">Client Survey Score</t>
  </si>
  <si>
    <t xml:space="preserve">External assessment of delivery quality and satisfaction</t>
  </si>
  <si>
    <t xml:space="preserve">Average post-engagement survey score (1-5 scale)</t>
  </si>
  <si>
    <t xml:space="preserve">Survey Tool</t>
  </si>
  <si>
    <t xml:space="preserve">Client Success</t>
  </si>
  <si>
    <t xml:space="preserve">Contract Renewal Rate</t>
  </si>
  <si>
    <t xml:space="preserve">Share of expiring contracts renewed in the period</t>
  </si>
  <si>
    <t xml:space="preserve">Contracts Renewed / Contracts Eligible for Renewal</t>
  </si>
  <si>
    <t xml:space="preserve">Sample Monthly Calculation — Consulting Operations</t>
  </si>
  <si>
    <t xml:space="preserve">Demonstrates KPI Catalog formulas applied to one month of synthetic data | All cells below are formula-driven from blue inputs</t>
  </si>
  <si>
    <t xml:space="preserve">Monthly Inputs</t>
  </si>
  <si>
    <t xml:space="preserve">Calculated KPIs</t>
  </si>
  <si>
    <t xml:space="preserve">Total Services Revenue ($)</t>
  </si>
  <si>
    <t xml:space="preserve">Formula</t>
  </si>
  <si>
    <t xml:space="preserve">Result</t>
  </si>
  <si>
    <t xml:space="preserve">Cost of Services Delivered ($)</t>
  </si>
  <si>
    <t xml:space="preserve">See KPI Catalog tab</t>
  </si>
  <si>
    <t xml:space="preserve">Total Labor Cost ($)</t>
  </si>
  <si>
    <t xml:space="preserve">Subcontractor Labor Cost ($)</t>
  </si>
  <si>
    <t xml:space="preserve">Total Variable Cost ($)</t>
  </si>
  <si>
    <t xml:space="preserve">Billable Hours (month)</t>
  </si>
  <si>
    <t xml:space="preserve">Approved Non-Billable Hours</t>
  </si>
  <si>
    <t xml:space="preserve">Total Available Hours (month)</t>
  </si>
  <si>
    <t xml:space="preserve">Schedule Variance (SV) $</t>
  </si>
  <si>
    <t xml:space="preserve">Earned Value - EV ($)</t>
  </si>
  <si>
    <t xml:space="preserve">Cost Variance (CV) $</t>
  </si>
  <si>
    <t xml:space="preserve">Planned Value - PV ($)</t>
  </si>
  <si>
    <t xml:space="preserve">Actual Cost - AC ($)</t>
  </si>
  <si>
    <t xml:space="preserve">Budget at Completion - BAC ($)</t>
  </si>
  <si>
    <t xml:space="preserve">Estimate at Completion (EAC) $</t>
  </si>
  <si>
    <t xml:space="preserve">Beginning Headcount</t>
  </si>
  <si>
    <t xml:space="preserve">Voluntary Attrition (count)</t>
  </si>
  <si>
    <t xml:space="preserve">Involuntary Attrition (count)</t>
  </si>
  <si>
    <t xml:space="preserve">Monthly Trend — Utilization, Margin &amp; Service Level</t>
  </si>
  <si>
    <t xml:space="preserve">12-month synthetic trend feeding the Operations Review deck charts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</si>
  <si>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</si>
  <si>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</si>
  <si>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</si>
  <si>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</si>
  <si>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</si>
  <si>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</si>
  <si>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</si>
  <si>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</si>
  <si>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</si>
  <si>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</si>
  <si>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</si>
  <si>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</si>
  <si>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SLA Attainment %</t>
  </si>
  <si>
    <t xml:space="preserve">Client Satisfaction (1-5)</t>
  </si>
  <si>
    <t xml:space="preserve">SLA Baseline Target</t>
  </si>
  <si>
    <t xml:space="preserve">Notes &amp; Methodology</t>
  </si>
  <si>
    <t xml:space="preserve">Purpose</t>
  </si>
  <si>
    <t xml:space="preserve">This workbook is a portfolio sample demonstrating KPI definition, governance, and calculation methodology for a professional services / consulting operation. It reflects the discipline of standing up a metrics program from the ground up: defining what to measure, how to calculate it, who owns it, and how often it's reported.</t>
  </si>
  <si>
    <t xml:space="preserve">Data</t>
  </si>
  <si>
    <t xml:space="preserve">All figures are synthetic and representative. No actual employer, client, or proprietary data is used anywhere in this workbook. Metric definitions reflect standard professional services industry practice (bookings, backlog, billable utilization, earned value management) rather than any single company's proprietary framework.</t>
  </si>
  <si>
    <t xml:space="preserve">Workbook Structure</t>
  </si>
  <si>
    <t xml:space="preserve">KPI Catalog tab is the governance reference: every metric's definition, calculation formula, data source, owner, and reporting cadence in one place. Sample Calculations tab applies those formulas to one month of synthetic input data, live and formula-driven. Monthly Trend tab provides 12 months of synthetic trend data feeding the companion Operations Review deck.</t>
  </si>
  <si>
    <t xml:space="preserve">Priority Convention</t>
  </si>
  <si>
    <t xml:space="preserve">P1 = metrics every leadership team tracks weekly or monthly without exception. P2 = metrics that provide important supporting context. P3 = metrics tracked less frequently but still part of a complete picture. This three-tier prioritization avoids the common failure mode of tracking everything and acting on nothing.</t>
  </si>
  <si>
    <t xml:space="preserve">Why Governance Before Dashboards</t>
  </si>
  <si>
    <t xml:space="preserve">A metrics program built backwards from the dashboard — 'what can I chart' — tends to drift from what the business actually needs to know, and breaks down as soon as someone asks why two numbers don't match. Defining the metric, its formula, its owner, and its source first means the dashboard answers a question that was actually asked, and any reviewer can audit how a number was produced.</t>
  </si>
  <si>
    <t xml:space="preserve">How to Use This Workbook</t>
  </si>
  <si>
    <t xml:space="preserve">Change any blue input cell on the Sample Calculations or Monthly Trend tab and the formula-driven results recalculate automatically. The KPI Catalog tab is the reference layer everything else is built from.</t>
  </si>
</sst>
</file>

<file path=xl/styles.xml><?xml version="1.0" encoding="utf-8"?>
<styleSheet xmlns="http://schemas.openxmlformats.org/spreadsheetml/2006/main">
  <numFmts count="6">
    <numFmt numFmtId="164" formatCode="General"/>
    <numFmt numFmtId="165" formatCode="#,##0"/>
    <numFmt numFmtId="166" formatCode="0.0%;\(0.0%\);\-"/>
    <numFmt numFmtId="167" formatCode="\$#,##0;&quot;($&quot;#,##0\);\-"/>
    <numFmt numFmtId="168" formatCode="0.00\x"/>
    <numFmt numFmtId="169" formatCode="0.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808080"/>
      <name val="Arial"/>
      <family val="0"/>
      <charset val="1"/>
    </font>
    <font>
      <b val="true"/>
      <sz val="11"/>
      <color rgb="FFFFFFFF"/>
      <name val="Arial"/>
      <family val="0"/>
      <charset val="1"/>
    </font>
    <font>
      <sz val="10"/>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CE6F1"/>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center" vertical="top"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4" fontId="10" fillId="3"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B4744"/>
      <rgbColor rgb="FFF9F9F9"/>
      <rgbColor rgb="FFDCE6F1"/>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A7EBB"/>
      <rgbColor rgb="FF878787"/>
      <rgbColor rgb="FF1F3864"/>
      <rgbColor rgb="FF339966"/>
      <rgbColor rgb="FF003300"/>
      <rgbColor rgb="FF333300"/>
      <rgbColor rgb="FF993300"/>
      <rgbColor rgb="FFBE4B48"/>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Billable vs. Effective Utilization</a:t>
            </a:r>
          </a:p>
        </c:rich>
      </c:tx>
      <c:overlay val="0"/>
      <c:spPr>
        <a:noFill/>
        <a:ln w="0">
          <a:noFill/>
        </a:ln>
      </c:spPr>
    </c:title>
    <c:autoTitleDeleted val="0"/>
    <c:plotArea>
      <c:lineChart>
        <c:grouping val="standard"/>
        <c:varyColors val="0"/>
        <c:ser>
          <c:idx val="0"/>
          <c:order val="0"/>
          <c:tx>
            <c:strRef>
              <c:f>"Billable Utilization %"</c:f>
              <c:strCache>
                <c:ptCount val="1"/>
                <c:pt idx="0">
                  <c:v>Billable Utilization %</c:v>
                </c:pt>
              </c:strCache>
            </c:strRef>
          </c:tx>
          <c:spPr>
            <a:solidFill>
              <a:srgbClr val="4a7ebb"/>
            </a:solidFill>
            <a:ln w="4752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'Monthly Trend'!$B$4:$M$4</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'Monthly Trend'!$B$5:$M$5</c:f>
              <c:numCache>
                <c:formatCode>0.0%;\(0.0%\);\-</c:formatCode>
                <c:ptCount val="12"/>
                <c:pt idx="0">
                  <c:v>0.794</c:v>
                </c:pt>
                <c:pt idx="1">
                  <c:v>0.807</c:v>
                </c:pt>
                <c:pt idx="2">
                  <c:v>0.851</c:v>
                </c:pt>
                <c:pt idx="3">
                  <c:v>0.796</c:v>
                </c:pt>
                <c:pt idx="4">
                  <c:v>0.801</c:v>
                </c:pt>
                <c:pt idx="5">
                  <c:v>0.81</c:v>
                </c:pt>
                <c:pt idx="6">
                  <c:v>0.762</c:v>
                </c:pt>
                <c:pt idx="7">
                  <c:v>0.801</c:v>
                </c:pt>
                <c:pt idx="8">
                  <c:v>0.816</c:v>
                </c:pt>
                <c:pt idx="9">
                  <c:v>0.835</c:v>
                </c:pt>
                <c:pt idx="10">
                  <c:v>0.751</c:v>
                </c:pt>
                <c:pt idx="11">
                  <c:v>0.776</c:v>
                </c:pt>
              </c:numCache>
            </c:numRef>
          </c:val>
          <c:smooth val="1"/>
        </c:ser>
        <c:ser>
          <c:idx val="1"/>
          <c:order val="1"/>
          <c:tx>
            <c:strRef>
              <c:f>"Effective Utilization %"</c:f>
              <c:strCache>
                <c:ptCount val="1"/>
                <c:pt idx="0">
                  <c:v>Effective Utilization %</c:v>
                </c:pt>
              </c:strCache>
            </c:strRef>
          </c:tx>
          <c:spPr>
            <a:solidFill>
              <a:srgbClr val="be4b48"/>
            </a:solidFill>
            <a:ln w="4752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'Monthly Trend'!$B$4:$M$4</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'Monthly Trend'!$B$6:$M$6</c:f>
              <c:numCache>
                <c:formatCode>0.0%;\(0.0%\);\-</c:formatCode>
                <c:ptCount val="12"/>
                <c:pt idx="0">
                  <c:v>0.828</c:v>
                </c:pt>
                <c:pt idx="1">
                  <c:v>0.869</c:v>
                </c:pt>
                <c:pt idx="2">
                  <c:v>0.909</c:v>
                </c:pt>
                <c:pt idx="3">
                  <c:v>0.828</c:v>
                </c:pt>
                <c:pt idx="4">
                  <c:v>0.87</c:v>
                </c:pt>
                <c:pt idx="5">
                  <c:v>0.879</c:v>
                </c:pt>
                <c:pt idx="6">
                  <c:v>0.818</c:v>
                </c:pt>
                <c:pt idx="7">
                  <c:v>0.856</c:v>
                </c:pt>
                <c:pt idx="8">
                  <c:v>0.852</c:v>
                </c:pt>
                <c:pt idx="9">
                  <c:v>0.866</c:v>
                </c:pt>
                <c:pt idx="10">
                  <c:v>0.802</c:v>
                </c:pt>
                <c:pt idx="11">
                  <c:v>0.808</c:v>
                </c:pt>
              </c:numCache>
            </c:numRef>
          </c:val>
          <c:smooth val="1"/>
        </c:ser>
        <c:hiLowLines>
          <c:spPr>
            <a:ln w="0">
              <a:noFill/>
            </a:ln>
          </c:spPr>
        </c:hiLowLines>
        <c:marker val="0"/>
        <c:axId val="20625063"/>
        <c:axId val="84256001"/>
      </c:lineChart>
      <c:catAx>
        <c:axId val="206250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56001"/>
        <c:crosses val="autoZero"/>
        <c:auto val="1"/>
        <c:lblAlgn val="ctr"/>
        <c:lblOffset val="100"/>
        <c:noMultiLvlLbl val="0"/>
      </c:catAx>
      <c:valAx>
        <c:axId val="842560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Available Hours</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250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SLA Attainment vs. Baseline Target</a:t>
            </a:r>
          </a:p>
        </c:rich>
      </c:tx>
      <c:overlay val="0"/>
      <c:spPr>
        <a:noFill/>
        <a:ln w="0">
          <a:noFill/>
        </a:ln>
      </c:spPr>
    </c:title>
    <c:autoTitleDeleted val="0"/>
    <c:plotArea>
      <c:barChart>
        <c:barDir val="col"/>
        <c:grouping val="clustered"/>
        <c:varyColors val="0"/>
        <c:ser>
          <c:idx val="0"/>
          <c:order val="0"/>
          <c:tx>
            <c:strRef>
              <c:f>"SLA Attainment %"</c:f>
              <c:strCache>
                <c:ptCount val="1"/>
                <c:pt idx="0">
                  <c:v>SLA Attainment %</c:v>
                </c:pt>
              </c:strCache>
            </c:strRef>
          </c:tx>
          <c:spPr>
            <a:solidFill>
              <a:srgbClr val="ab4744"/>
            </a:solidFill>
            <a:ln w="9360">
              <a:solidFill>
                <a:srgbClr val="f9f9f9"/>
              </a:solidFill>
              <a:round/>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'Monthly Trend'!$B$4:$M$4</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'Monthly Trend'!$B$8:$M$8</c:f>
              <c:numCache>
                <c:formatCode>0.0%;\(0.0%\);\-</c:formatCode>
                <c:ptCount val="12"/>
                <c:pt idx="0">
                  <c:v>0.99</c:v>
                </c:pt>
                <c:pt idx="1">
                  <c:v>0.99</c:v>
                </c:pt>
                <c:pt idx="2">
                  <c:v>0.98</c:v>
                </c:pt>
                <c:pt idx="3">
                  <c:v>0.972</c:v>
                </c:pt>
                <c:pt idx="4">
                  <c:v>0.949</c:v>
                </c:pt>
                <c:pt idx="5">
                  <c:v>0.944</c:v>
                </c:pt>
                <c:pt idx="6">
                  <c:v>0.947</c:v>
                </c:pt>
                <c:pt idx="7">
                  <c:v>0.934</c:v>
                </c:pt>
                <c:pt idx="8">
                  <c:v>0.976</c:v>
                </c:pt>
                <c:pt idx="9">
                  <c:v>0.954</c:v>
                </c:pt>
                <c:pt idx="10">
                  <c:v>0.981</c:v>
                </c:pt>
                <c:pt idx="11">
                  <c:v>0.953</c:v>
                </c:pt>
              </c:numCache>
            </c:numRef>
          </c:val>
        </c:ser>
        <c:gapWidth val="150"/>
        <c:overlap val="0"/>
        <c:axId val="5736835"/>
        <c:axId val="94518236"/>
      </c:barChart>
      <c:lineChart>
        <c:grouping val="standard"/>
        <c:varyColors val="0"/>
        <c:ser>
          <c:idx val="1"/>
          <c:order val="1"/>
          <c:tx>
            <c:strRef>
              <c:f>"Baseline Target (95%)"</c:f>
              <c:strCache>
                <c:ptCount val="1"/>
                <c:pt idx="0">
                  <c:v>Baseline Target (95%)</c:v>
                </c:pt>
              </c:strCache>
            </c:strRef>
          </c:tx>
          <c:spPr>
            <a:solidFill>
              <a:srgbClr val="cc8f8e"/>
            </a:solidFill>
            <a:ln w="47520">
              <a:solidFill>
                <a:srgbClr val="cc8f8e"/>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'Monthly Trend'!$B$4:$M$4</c:f>
              <c:multiLvlStrCache>
                <c:ptCount val="1"/>
                <c:lvl>
                  <c:pt idx="0">
                    <c:v>Dec</c:v>
                  </c:pt>
                </c:lvl>
                <c:lvl>
                  <c:pt idx="0">
                    <c:v>Nov</c:v>
                  </c:pt>
                </c:lvl>
                <c:lvl>
                  <c:pt idx="0">
                    <c:v>Oct</c:v>
                  </c:pt>
                </c:lvl>
                <c:lvl>
                  <c:pt idx="0">
                    <c:v>Sep</c:v>
                  </c:pt>
                </c:lvl>
                <c:lvl>
                  <c:pt idx="0">
                    <c:v>Aug</c:v>
                  </c:pt>
                </c:lvl>
                <c:lvl>
                  <c:pt idx="0">
                    <c:v>Jul</c:v>
                  </c:pt>
                </c:lvl>
                <c:lvl>
                  <c:pt idx="0">
                    <c:v>Jun</c:v>
                  </c:pt>
                </c:lvl>
                <c:lvl>
                  <c:pt idx="0">
                    <c:v>May</c:v>
                  </c:pt>
                </c:lvl>
                <c:lvl>
                  <c:pt idx="0">
                    <c:v>Apr</c:v>
                  </c:pt>
                </c:lvl>
                <c:lvl>
                  <c:pt idx="0">
                    <c:v>Mar</c:v>
                  </c:pt>
                </c:lvl>
                <c:lvl>
                  <c:pt idx="0">
                    <c:v>Feb</c:v>
                  </c:pt>
                </c:lvl>
                <c:lvl>
                  <c:pt idx="0">
                    <c:v>Jan</c:v>
                  </c:pt>
                </c:lvl>
              </c:multiLvlStrCache>
            </c:multiLvlStrRef>
          </c:cat>
          <c:val>
            <c:numRef>
              <c:f>'Monthly Trend'!$B$10:$M$10</c:f>
              <c:numCache>
                <c:formatCode>0.0%;\(0.0%\);\-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1"/>
        </c:ser>
        <c:hiLowLines>
          <c:spPr>
            <a:ln w="0">
              <a:noFill/>
            </a:ln>
          </c:spPr>
        </c:hiLowLines>
        <c:marker val="0"/>
        <c:axId val="5736835"/>
        <c:axId val="94518236"/>
      </c:lineChart>
      <c:catAx>
        <c:axId val="57368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518236"/>
        <c:crosses val="autoZero"/>
        <c:auto val="1"/>
        <c:lblAlgn val="ctr"/>
        <c:lblOffset val="100"/>
        <c:noMultiLvlLbl val="0"/>
      </c:catAx>
      <c:valAx>
        <c:axId val="9451823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Attainment</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368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130680</xdr:rowOff>
    </xdr:from>
    <xdr:to>
      <xdr:col>10</xdr:col>
      <xdr:colOff>377280</xdr:colOff>
      <xdr:row>28</xdr:row>
      <xdr:rowOff>142200</xdr:rowOff>
    </xdr:to>
    <xdr:graphicFrame>
      <xdr:nvGraphicFramePr>
        <xdr:cNvPr id="0" name="Chart 1"/>
        <xdr:cNvGraphicFramePr/>
      </xdr:nvGraphicFramePr>
      <xdr:xfrm>
        <a:off x="0" y="2476440"/>
        <a:ext cx="79192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30</xdr:row>
      <xdr:rowOff>130680</xdr:rowOff>
    </xdr:from>
    <xdr:to>
      <xdr:col>10</xdr:col>
      <xdr:colOff>377280</xdr:colOff>
      <xdr:row>46</xdr:row>
      <xdr:rowOff>142200</xdr:rowOff>
    </xdr:to>
    <xdr:graphicFrame>
      <xdr:nvGraphicFramePr>
        <xdr:cNvPr id="1" name="Chart 2"/>
        <xdr:cNvGraphicFramePr/>
      </xdr:nvGraphicFramePr>
      <xdr:xfrm>
        <a:off x="0" y="5905440"/>
        <a:ext cx="791928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38"/>
    <col collapsed="false" customWidth="true" hidden="false" outlineLevel="0" max="4" min="4" style="1" width="42"/>
    <col collapsed="false" customWidth="true" hidden="false" outlineLevel="0" max="6" min="5" style="1" width="14"/>
    <col collapsed="false" customWidth="true" hidden="false" outlineLevel="0" max="7" min="7" style="1" width="11"/>
    <col collapsed="false" customWidth="true" hidden="false" outlineLevel="0" max="8" min="8" style="1" width="9"/>
  </cols>
  <sheetData>
    <row r="1" customFormat="false" ht="19.7" hidden="false" customHeight="false" outlineLevel="0" collapsed="false">
      <c r="A1" s="2" t="s">
        <v>0</v>
      </c>
      <c r="B1" s="2"/>
      <c r="C1" s="2"/>
      <c r="D1" s="2"/>
      <c r="E1" s="2"/>
      <c r="F1" s="2"/>
      <c r="G1" s="2"/>
      <c r="H1" s="2"/>
    </row>
    <row r="2" customFormat="false" ht="15" hidden="false" customHeight="false" outlineLevel="0" collapsed="false">
      <c r="A2" s="3" t="s">
        <v>1</v>
      </c>
      <c r="B2" s="3"/>
      <c r="C2" s="3"/>
      <c r="D2" s="3"/>
      <c r="E2" s="3"/>
      <c r="F2" s="3"/>
      <c r="G2" s="3"/>
      <c r="H2" s="3"/>
    </row>
    <row r="4" customFormat="false" ht="15" hidden="false" customHeight="false" outlineLevel="0" collapsed="false">
      <c r="A4" s="4" t="s">
        <v>2</v>
      </c>
      <c r="B4" s="4" t="s">
        <v>3</v>
      </c>
      <c r="C4" s="4" t="s">
        <v>4</v>
      </c>
      <c r="D4" s="4" t="s">
        <v>5</v>
      </c>
      <c r="E4" s="4" t="s">
        <v>6</v>
      </c>
      <c r="F4" s="4" t="s">
        <v>7</v>
      </c>
      <c r="G4" s="4" t="s">
        <v>8</v>
      </c>
      <c r="H4" s="4" t="s">
        <v>9</v>
      </c>
    </row>
    <row r="5" customFormat="false" ht="23.85" hidden="false" customHeight="false" outlineLevel="0" collapsed="false">
      <c r="A5" s="5" t="s">
        <v>10</v>
      </c>
      <c r="B5" s="5" t="s">
        <v>11</v>
      </c>
      <c r="C5" s="5" t="s">
        <v>12</v>
      </c>
      <c r="D5" s="5" t="s">
        <v>13</v>
      </c>
      <c r="E5" s="5" t="s">
        <v>14</v>
      </c>
      <c r="F5" s="5" t="s">
        <v>15</v>
      </c>
      <c r="G5" s="5" t="s">
        <v>16</v>
      </c>
      <c r="H5" s="6" t="s">
        <v>17</v>
      </c>
    </row>
    <row r="6" customFormat="false" ht="23.85" hidden="false" customHeight="false" outlineLevel="0" collapsed="false">
      <c r="A6" s="5" t="s">
        <v>10</v>
      </c>
      <c r="B6" s="5" t="s">
        <v>18</v>
      </c>
      <c r="C6" s="5" t="s">
        <v>19</v>
      </c>
      <c r="D6" s="5" t="s">
        <v>20</v>
      </c>
      <c r="E6" s="5" t="s">
        <v>21</v>
      </c>
      <c r="F6" s="5" t="s">
        <v>22</v>
      </c>
      <c r="G6" s="5" t="s">
        <v>16</v>
      </c>
      <c r="H6" s="6" t="s">
        <v>17</v>
      </c>
    </row>
    <row r="7" customFormat="false" ht="23.85" hidden="false" customHeight="false" outlineLevel="0" collapsed="false">
      <c r="A7" s="5" t="s">
        <v>10</v>
      </c>
      <c r="B7" s="5" t="s">
        <v>23</v>
      </c>
      <c r="C7" s="5" t="s">
        <v>24</v>
      </c>
      <c r="D7" s="5" t="s">
        <v>25</v>
      </c>
      <c r="E7" s="5" t="s">
        <v>26</v>
      </c>
      <c r="F7" s="5" t="s">
        <v>27</v>
      </c>
      <c r="G7" s="5" t="s">
        <v>16</v>
      </c>
      <c r="H7" s="6" t="s">
        <v>17</v>
      </c>
    </row>
    <row r="8" customFormat="false" ht="23.85" hidden="false" customHeight="false" outlineLevel="0" collapsed="false">
      <c r="A8" s="5" t="s">
        <v>10</v>
      </c>
      <c r="B8" s="5" t="s">
        <v>28</v>
      </c>
      <c r="C8" s="5" t="s">
        <v>29</v>
      </c>
      <c r="D8" s="5" t="s">
        <v>30</v>
      </c>
      <c r="E8" s="5" t="s">
        <v>27</v>
      </c>
      <c r="F8" s="5" t="s">
        <v>31</v>
      </c>
      <c r="G8" s="5" t="s">
        <v>32</v>
      </c>
      <c r="H8" s="6" t="s">
        <v>17</v>
      </c>
    </row>
    <row r="9" customFormat="false" ht="23.85" hidden="false" customHeight="false" outlineLevel="0" collapsed="false">
      <c r="A9" s="5" t="s">
        <v>10</v>
      </c>
      <c r="B9" s="5" t="s">
        <v>33</v>
      </c>
      <c r="C9" s="5" t="s">
        <v>34</v>
      </c>
      <c r="D9" s="5" t="s">
        <v>35</v>
      </c>
      <c r="E9" s="5" t="s">
        <v>14</v>
      </c>
      <c r="F9" s="5" t="s">
        <v>15</v>
      </c>
      <c r="G9" s="5" t="s">
        <v>32</v>
      </c>
      <c r="H9" s="6" t="s">
        <v>36</v>
      </c>
    </row>
    <row r="10" customFormat="false" ht="15" hidden="false" customHeight="false" outlineLevel="0" collapsed="false">
      <c r="A10" s="5" t="s">
        <v>10</v>
      </c>
      <c r="B10" s="5" t="s">
        <v>37</v>
      </c>
      <c r="C10" s="5" t="s">
        <v>38</v>
      </c>
      <c r="D10" s="5" t="s">
        <v>39</v>
      </c>
      <c r="E10" s="5" t="s">
        <v>26</v>
      </c>
      <c r="F10" s="5" t="s">
        <v>40</v>
      </c>
      <c r="G10" s="5" t="s">
        <v>16</v>
      </c>
      <c r="H10" s="6" t="s">
        <v>36</v>
      </c>
    </row>
    <row r="11" customFormat="false" ht="23.85" hidden="false" customHeight="false" outlineLevel="0" collapsed="false">
      <c r="A11" s="5" t="s">
        <v>41</v>
      </c>
      <c r="B11" s="5" t="s">
        <v>42</v>
      </c>
      <c r="C11" s="5" t="s">
        <v>43</v>
      </c>
      <c r="D11" s="5" t="s">
        <v>44</v>
      </c>
      <c r="E11" s="5" t="s">
        <v>27</v>
      </c>
      <c r="F11" s="5" t="s">
        <v>31</v>
      </c>
      <c r="G11" s="5" t="s">
        <v>32</v>
      </c>
      <c r="H11" s="6" t="s">
        <v>17</v>
      </c>
    </row>
    <row r="12" customFormat="false" ht="23.85" hidden="false" customHeight="false" outlineLevel="0" collapsed="false">
      <c r="A12" s="5" t="s">
        <v>41</v>
      </c>
      <c r="B12" s="5" t="s">
        <v>45</v>
      </c>
      <c r="C12" s="5" t="s">
        <v>46</v>
      </c>
      <c r="D12" s="5" t="s">
        <v>47</v>
      </c>
      <c r="E12" s="5" t="s">
        <v>27</v>
      </c>
      <c r="F12" s="5" t="s">
        <v>31</v>
      </c>
      <c r="G12" s="5" t="s">
        <v>32</v>
      </c>
      <c r="H12" s="6" t="s">
        <v>17</v>
      </c>
    </row>
    <row r="13" customFormat="false" ht="23.85" hidden="false" customHeight="false" outlineLevel="0" collapsed="false">
      <c r="A13" s="5" t="s">
        <v>41</v>
      </c>
      <c r="B13" s="5" t="s">
        <v>48</v>
      </c>
      <c r="C13" s="5" t="s">
        <v>49</v>
      </c>
      <c r="D13" s="5" t="s">
        <v>50</v>
      </c>
      <c r="E13" s="5" t="s">
        <v>27</v>
      </c>
      <c r="F13" s="5" t="s">
        <v>31</v>
      </c>
      <c r="G13" s="5" t="s">
        <v>32</v>
      </c>
      <c r="H13" s="6" t="s">
        <v>36</v>
      </c>
    </row>
    <row r="14" customFormat="false" ht="23.85" hidden="false" customHeight="false" outlineLevel="0" collapsed="false">
      <c r="A14" s="5" t="s">
        <v>41</v>
      </c>
      <c r="B14" s="5" t="s">
        <v>51</v>
      </c>
      <c r="C14" s="5" t="s">
        <v>52</v>
      </c>
      <c r="D14" s="5" t="s">
        <v>53</v>
      </c>
      <c r="E14" s="5" t="s">
        <v>27</v>
      </c>
      <c r="F14" s="5" t="s">
        <v>31</v>
      </c>
      <c r="G14" s="5" t="s">
        <v>32</v>
      </c>
      <c r="H14" s="6" t="s">
        <v>36</v>
      </c>
    </row>
    <row r="15" customFormat="false" ht="23.85" hidden="false" customHeight="false" outlineLevel="0" collapsed="false">
      <c r="A15" s="5" t="s">
        <v>54</v>
      </c>
      <c r="B15" s="5" t="s">
        <v>55</v>
      </c>
      <c r="C15" s="5" t="s">
        <v>56</v>
      </c>
      <c r="D15" s="5" t="s">
        <v>57</v>
      </c>
      <c r="E15" s="5" t="s">
        <v>26</v>
      </c>
      <c r="F15" s="5" t="s">
        <v>58</v>
      </c>
      <c r="G15" s="5" t="s">
        <v>16</v>
      </c>
      <c r="H15" s="6" t="s">
        <v>17</v>
      </c>
    </row>
    <row r="16" customFormat="false" ht="23.85" hidden="false" customHeight="false" outlineLevel="0" collapsed="false">
      <c r="A16" s="5" t="s">
        <v>54</v>
      </c>
      <c r="B16" s="5" t="s">
        <v>59</v>
      </c>
      <c r="C16" s="5" t="s">
        <v>60</v>
      </c>
      <c r="D16" s="5" t="s">
        <v>61</v>
      </c>
      <c r="E16" s="5" t="s">
        <v>26</v>
      </c>
      <c r="F16" s="5" t="s">
        <v>58</v>
      </c>
      <c r="G16" s="5" t="s">
        <v>16</v>
      </c>
      <c r="H16" s="6" t="s">
        <v>17</v>
      </c>
    </row>
    <row r="17" customFormat="false" ht="23.85" hidden="false" customHeight="false" outlineLevel="0" collapsed="false">
      <c r="A17" s="5" t="s">
        <v>54</v>
      </c>
      <c r="B17" s="5" t="s">
        <v>62</v>
      </c>
      <c r="C17" s="5" t="s">
        <v>63</v>
      </c>
      <c r="D17" s="5" t="s">
        <v>64</v>
      </c>
      <c r="E17" s="5" t="s">
        <v>65</v>
      </c>
      <c r="F17" s="5" t="s">
        <v>58</v>
      </c>
      <c r="G17" s="5" t="s">
        <v>32</v>
      </c>
      <c r="H17" s="6" t="s">
        <v>36</v>
      </c>
    </row>
    <row r="18" customFormat="false" ht="23.85" hidden="false" customHeight="false" outlineLevel="0" collapsed="false">
      <c r="A18" s="5" t="s">
        <v>54</v>
      </c>
      <c r="B18" s="5" t="s">
        <v>66</v>
      </c>
      <c r="C18" s="5" t="s">
        <v>67</v>
      </c>
      <c r="D18" s="5" t="s">
        <v>68</v>
      </c>
      <c r="E18" s="5" t="s">
        <v>26</v>
      </c>
      <c r="F18" s="5" t="s">
        <v>58</v>
      </c>
      <c r="G18" s="5" t="s">
        <v>32</v>
      </c>
      <c r="H18" s="6" t="s">
        <v>36</v>
      </c>
    </row>
    <row r="19" customFormat="false" ht="15" hidden="false" customHeight="false" outlineLevel="0" collapsed="false">
      <c r="A19" s="5" t="s">
        <v>54</v>
      </c>
      <c r="B19" s="5" t="s">
        <v>69</v>
      </c>
      <c r="C19" s="5" t="s">
        <v>70</v>
      </c>
      <c r="D19" s="5" t="s">
        <v>71</v>
      </c>
      <c r="E19" s="5" t="s">
        <v>72</v>
      </c>
      <c r="F19" s="5" t="s">
        <v>31</v>
      </c>
      <c r="G19" s="5" t="s">
        <v>73</v>
      </c>
      <c r="H19" s="6" t="s">
        <v>74</v>
      </c>
    </row>
    <row r="20" customFormat="false" ht="23.85" hidden="false" customHeight="false" outlineLevel="0" collapsed="false">
      <c r="A20" s="5" t="s">
        <v>54</v>
      </c>
      <c r="B20" s="5" t="s">
        <v>75</v>
      </c>
      <c r="C20" s="5" t="s">
        <v>76</v>
      </c>
      <c r="D20" s="5" t="s">
        <v>77</v>
      </c>
      <c r="E20" s="5" t="s">
        <v>65</v>
      </c>
      <c r="F20" s="5" t="s">
        <v>78</v>
      </c>
      <c r="G20" s="5" t="s">
        <v>73</v>
      </c>
      <c r="H20" s="6" t="s">
        <v>74</v>
      </c>
    </row>
    <row r="21" customFormat="false" ht="23.85" hidden="false" customHeight="false" outlineLevel="0" collapsed="false">
      <c r="A21" s="5" t="s">
        <v>79</v>
      </c>
      <c r="B21" s="5" t="s">
        <v>80</v>
      </c>
      <c r="C21" s="5" t="s">
        <v>81</v>
      </c>
      <c r="D21" s="5" t="s">
        <v>82</v>
      </c>
      <c r="E21" s="5" t="s">
        <v>26</v>
      </c>
      <c r="F21" s="5" t="s">
        <v>83</v>
      </c>
      <c r="G21" s="5" t="s">
        <v>16</v>
      </c>
      <c r="H21" s="6" t="s">
        <v>17</v>
      </c>
    </row>
    <row r="22" customFormat="false" ht="23.85" hidden="false" customHeight="false" outlineLevel="0" collapsed="false">
      <c r="A22" s="5" t="s">
        <v>79</v>
      </c>
      <c r="B22" s="5" t="s">
        <v>84</v>
      </c>
      <c r="C22" s="5" t="s">
        <v>85</v>
      </c>
      <c r="D22" s="5" t="s">
        <v>86</v>
      </c>
      <c r="E22" s="5" t="s">
        <v>26</v>
      </c>
      <c r="F22" s="5" t="s">
        <v>83</v>
      </c>
      <c r="G22" s="5" t="s">
        <v>16</v>
      </c>
      <c r="H22" s="6" t="s">
        <v>17</v>
      </c>
    </row>
    <row r="23" customFormat="false" ht="23.85" hidden="false" customHeight="false" outlineLevel="0" collapsed="false">
      <c r="A23" s="5" t="s">
        <v>79</v>
      </c>
      <c r="B23" s="5" t="s">
        <v>87</v>
      </c>
      <c r="C23" s="5" t="s">
        <v>88</v>
      </c>
      <c r="D23" s="5" t="s">
        <v>89</v>
      </c>
      <c r="E23" s="5" t="s">
        <v>26</v>
      </c>
      <c r="F23" s="5" t="s">
        <v>83</v>
      </c>
      <c r="G23" s="5" t="s">
        <v>16</v>
      </c>
      <c r="H23" s="6" t="s">
        <v>36</v>
      </c>
    </row>
    <row r="24" customFormat="false" ht="23.85" hidden="false" customHeight="false" outlineLevel="0" collapsed="false">
      <c r="A24" s="5" t="s">
        <v>79</v>
      </c>
      <c r="B24" s="5" t="s">
        <v>90</v>
      </c>
      <c r="C24" s="5" t="s">
        <v>91</v>
      </c>
      <c r="D24" s="5" t="s">
        <v>92</v>
      </c>
      <c r="E24" s="5" t="s">
        <v>26</v>
      </c>
      <c r="F24" s="5" t="s">
        <v>83</v>
      </c>
      <c r="G24" s="5" t="s">
        <v>16</v>
      </c>
      <c r="H24" s="6" t="s">
        <v>36</v>
      </c>
    </row>
    <row r="25" customFormat="false" ht="23.85" hidden="false" customHeight="false" outlineLevel="0" collapsed="false">
      <c r="A25" s="5" t="s">
        <v>79</v>
      </c>
      <c r="B25" s="5" t="s">
        <v>93</v>
      </c>
      <c r="C25" s="5" t="s">
        <v>94</v>
      </c>
      <c r="D25" s="5" t="s">
        <v>95</v>
      </c>
      <c r="E25" s="5" t="s">
        <v>26</v>
      </c>
      <c r="F25" s="5" t="s">
        <v>83</v>
      </c>
      <c r="G25" s="5" t="s">
        <v>32</v>
      </c>
      <c r="H25" s="6" t="s">
        <v>74</v>
      </c>
    </row>
    <row r="26" customFormat="false" ht="23.85" hidden="false" customHeight="false" outlineLevel="0" collapsed="false">
      <c r="A26" s="5" t="s">
        <v>96</v>
      </c>
      <c r="B26" s="5" t="s">
        <v>97</v>
      </c>
      <c r="C26" s="5" t="s">
        <v>98</v>
      </c>
      <c r="D26" s="5" t="s">
        <v>99</v>
      </c>
      <c r="E26" s="5" t="s">
        <v>100</v>
      </c>
      <c r="F26" s="5" t="s">
        <v>101</v>
      </c>
      <c r="G26" s="5" t="s">
        <v>32</v>
      </c>
      <c r="H26" s="6" t="s">
        <v>36</v>
      </c>
    </row>
    <row r="27" customFormat="false" ht="23.85" hidden="false" customHeight="false" outlineLevel="0" collapsed="false">
      <c r="A27" s="5" t="s">
        <v>96</v>
      </c>
      <c r="B27" s="5" t="s">
        <v>102</v>
      </c>
      <c r="C27" s="5" t="s">
        <v>103</v>
      </c>
      <c r="D27" s="5" t="s">
        <v>104</v>
      </c>
      <c r="E27" s="5" t="s">
        <v>105</v>
      </c>
      <c r="F27" s="5" t="s">
        <v>106</v>
      </c>
      <c r="G27" s="5" t="s">
        <v>73</v>
      </c>
      <c r="H27" s="6" t="s">
        <v>36</v>
      </c>
    </row>
    <row r="28" customFormat="false" ht="23.85" hidden="false" customHeight="false" outlineLevel="0" collapsed="false">
      <c r="A28" s="5" t="s">
        <v>96</v>
      </c>
      <c r="B28" s="5" t="s">
        <v>107</v>
      </c>
      <c r="C28" s="5" t="s">
        <v>108</v>
      </c>
      <c r="D28" s="5" t="s">
        <v>109</v>
      </c>
      <c r="E28" s="5" t="s">
        <v>14</v>
      </c>
      <c r="F28" s="5" t="s">
        <v>106</v>
      </c>
      <c r="G28" s="5" t="s">
        <v>73</v>
      </c>
      <c r="H28" s="6" t="s">
        <v>74</v>
      </c>
    </row>
  </sheetData>
  <mergeCells count="2">
    <mergeCell ref="A1:H1"/>
    <mergeCell ref="A2:H2"/>
  </mergeCells>
  <conditionalFormatting sqref="H5:H28">
    <cfRule type="cellIs" priority="2" operator="equal" aboveAverage="0" equalAverage="0" bottom="0" percent="0" rank="0" text="" dxfId="0">
      <formula>"P1"</formula>
    </cfRule>
    <cfRule type="cellIs" priority="3" operator="equal" aboveAverage="0" equalAverage="0" bottom="0" percent="0" rank="0" text="" dxfId="1">
      <formula>"P2"</formula>
    </cfRule>
    <cfRule type="cellIs" priority="4" operator="equal" aboveAverage="0" equalAverage="0" bottom="0" percent="0" rank="0" text="" dxfId="2">
      <formula>"P3"</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3"/>
    <col collapsed="false" customWidth="true" hidden="false" outlineLevel="0" max="4" min="4" style="1" width="30"/>
    <col collapsed="false" customWidth="true" hidden="false" outlineLevel="0" max="6" min="5" style="1" width="16"/>
    <col collapsed="false" customWidth="true" hidden="false" outlineLevel="0" max="7" min="7" style="1" width="9"/>
  </cols>
  <sheetData>
    <row r="1" customFormat="false" ht="19.7" hidden="false" customHeight="false" outlineLevel="0" collapsed="false">
      <c r="A1" s="2" t="s">
        <v>110</v>
      </c>
      <c r="B1" s="2"/>
      <c r="C1" s="2"/>
      <c r="D1" s="2"/>
      <c r="E1" s="2"/>
      <c r="F1" s="2"/>
      <c r="G1" s="2"/>
      <c r="H1" s="2"/>
    </row>
    <row r="2" customFormat="false" ht="15" hidden="false" customHeight="false" outlineLevel="0" collapsed="false">
      <c r="A2" s="3" t="s">
        <v>111</v>
      </c>
      <c r="B2" s="3"/>
      <c r="C2" s="3"/>
      <c r="D2" s="3"/>
      <c r="E2" s="3"/>
      <c r="F2" s="3"/>
      <c r="G2" s="3"/>
      <c r="H2" s="3"/>
    </row>
    <row r="4" customFormat="false" ht="15" hidden="false" customHeight="false" outlineLevel="0" collapsed="false">
      <c r="A4" s="7" t="s">
        <v>112</v>
      </c>
      <c r="B4" s="7"/>
      <c r="D4" s="7" t="s">
        <v>113</v>
      </c>
      <c r="E4" s="7"/>
      <c r="F4" s="7"/>
      <c r="G4" s="7"/>
    </row>
    <row r="5" customFormat="false" ht="15" hidden="false" customHeight="false" outlineLevel="0" collapsed="false">
      <c r="A5" s="8" t="s">
        <v>114</v>
      </c>
      <c r="B5" s="9" t="n">
        <v>412500</v>
      </c>
      <c r="D5" s="10" t="s">
        <v>3</v>
      </c>
      <c r="E5" s="10" t="s">
        <v>115</v>
      </c>
      <c r="F5" s="10" t="s">
        <v>116</v>
      </c>
      <c r="G5" s="10" t="s">
        <v>9</v>
      </c>
    </row>
    <row r="6" customFormat="false" ht="15" hidden="false" customHeight="false" outlineLevel="0" collapsed="false">
      <c r="A6" s="8" t="s">
        <v>117</v>
      </c>
      <c r="B6" s="9" t="n">
        <v>261900</v>
      </c>
      <c r="D6" s="8" t="s">
        <v>42</v>
      </c>
      <c r="E6" s="11" t="s">
        <v>118</v>
      </c>
      <c r="F6" s="12" t="n">
        <f aca="false">((B5-B6)/B5)</f>
        <v>0.365090909090909</v>
      </c>
      <c r="G6" s="13" t="s">
        <v>17</v>
      </c>
    </row>
    <row r="7" customFormat="false" ht="15" hidden="false" customHeight="false" outlineLevel="0" collapsed="false">
      <c r="A7" s="8" t="s">
        <v>119</v>
      </c>
      <c r="B7" s="9" t="n">
        <v>198400</v>
      </c>
      <c r="D7" s="8" t="s">
        <v>45</v>
      </c>
      <c r="E7" s="11" t="s">
        <v>118</v>
      </c>
      <c r="F7" s="12" t="n">
        <f aca="false">((B5-B7)/B5)</f>
        <v>0.519030303030303</v>
      </c>
      <c r="G7" s="13" t="s">
        <v>17</v>
      </c>
    </row>
    <row r="8" customFormat="false" ht="15" hidden="false" customHeight="false" outlineLevel="0" collapsed="false">
      <c r="A8" s="8" t="s">
        <v>120</v>
      </c>
      <c r="B8" s="9" t="n">
        <v>38200</v>
      </c>
      <c r="D8" s="8" t="s">
        <v>48</v>
      </c>
      <c r="E8" s="11" t="s">
        <v>118</v>
      </c>
      <c r="F8" s="12" t="n">
        <f aca="false">((B5-B8)/B5)</f>
        <v>0.907393939393939</v>
      </c>
      <c r="G8" s="13" t="s">
        <v>36</v>
      </c>
    </row>
    <row r="9" customFormat="false" ht="15" hidden="false" customHeight="false" outlineLevel="0" collapsed="false">
      <c r="A9" s="8" t="s">
        <v>121</v>
      </c>
      <c r="B9" s="9" t="n">
        <v>287600</v>
      </c>
      <c r="D9" s="8" t="s">
        <v>51</v>
      </c>
      <c r="E9" s="11" t="s">
        <v>118</v>
      </c>
      <c r="F9" s="12" t="n">
        <f aca="false">((B5-B9)/B5)</f>
        <v>0.302787878787879</v>
      </c>
      <c r="G9" s="13" t="s">
        <v>36</v>
      </c>
    </row>
    <row r="10" customFormat="false" ht="15" hidden="false" customHeight="false" outlineLevel="0" collapsed="false">
      <c r="A10" s="8" t="s">
        <v>122</v>
      </c>
      <c r="B10" s="9" t="n">
        <v>4960</v>
      </c>
      <c r="D10" s="8" t="s">
        <v>55</v>
      </c>
      <c r="E10" s="11" t="s">
        <v>118</v>
      </c>
      <c r="F10" s="12" t="n">
        <f aca="false">(B10/B12)</f>
        <v>0.815789473684211</v>
      </c>
      <c r="G10" s="13" t="s">
        <v>17</v>
      </c>
    </row>
    <row r="11" customFormat="false" ht="15" hidden="false" customHeight="false" outlineLevel="0" collapsed="false">
      <c r="A11" s="8" t="s">
        <v>123</v>
      </c>
      <c r="B11" s="9" t="n">
        <v>410</v>
      </c>
      <c r="D11" s="8" t="s">
        <v>59</v>
      </c>
      <c r="E11" s="11" t="s">
        <v>118</v>
      </c>
      <c r="F11" s="12" t="n">
        <f aca="false">((B10+B11)/B12)</f>
        <v>0.883223684210526</v>
      </c>
      <c r="G11" s="13" t="s">
        <v>17</v>
      </c>
    </row>
    <row r="12" customFormat="false" ht="15" hidden="false" customHeight="false" outlineLevel="0" collapsed="false">
      <c r="A12" s="8" t="s">
        <v>124</v>
      </c>
      <c r="B12" s="9" t="n">
        <v>6080</v>
      </c>
      <c r="D12" s="8" t="s">
        <v>125</v>
      </c>
      <c r="E12" s="11" t="s">
        <v>118</v>
      </c>
      <c r="F12" s="14" t="n">
        <f aca="false">(B13-B14)</f>
        <v>-13500</v>
      </c>
      <c r="G12" s="13" t="s">
        <v>17</v>
      </c>
    </row>
    <row r="13" customFormat="false" ht="15" hidden="false" customHeight="false" outlineLevel="0" collapsed="false">
      <c r="A13" s="8" t="s">
        <v>126</v>
      </c>
      <c r="B13" s="9" t="n">
        <v>388000</v>
      </c>
      <c r="D13" s="8" t="s">
        <v>127</v>
      </c>
      <c r="E13" s="11" t="s">
        <v>118</v>
      </c>
      <c r="F13" s="14" t="n">
        <f aca="false">(B13-B15)</f>
        <v>15700</v>
      </c>
      <c r="G13" s="13" t="s">
        <v>17</v>
      </c>
    </row>
    <row r="14" customFormat="false" ht="15" hidden="false" customHeight="false" outlineLevel="0" collapsed="false">
      <c r="A14" s="8" t="s">
        <v>128</v>
      </c>
      <c r="B14" s="9" t="n">
        <v>401500</v>
      </c>
      <c r="D14" s="8" t="s">
        <v>87</v>
      </c>
      <c r="E14" s="11" t="s">
        <v>118</v>
      </c>
      <c r="F14" s="15" t="n">
        <f aca="false">(B13/B15)</f>
        <v>1.04217029277464</v>
      </c>
      <c r="G14" s="13" t="s">
        <v>36</v>
      </c>
    </row>
    <row r="15" customFormat="false" ht="15" hidden="false" customHeight="false" outlineLevel="0" collapsed="false">
      <c r="A15" s="8" t="s">
        <v>129</v>
      </c>
      <c r="B15" s="9" t="n">
        <v>372300</v>
      </c>
      <c r="D15" s="8" t="s">
        <v>90</v>
      </c>
      <c r="E15" s="11" t="s">
        <v>118</v>
      </c>
      <c r="F15" s="15" t="n">
        <f aca="false">(B13/B14)</f>
        <v>0.966376089663761</v>
      </c>
      <c r="G15" s="13" t="s">
        <v>36</v>
      </c>
    </row>
    <row r="16" customFormat="false" ht="15" hidden="false" customHeight="false" outlineLevel="0" collapsed="false">
      <c r="A16" s="8" t="s">
        <v>130</v>
      </c>
      <c r="B16" s="9" t="n">
        <v>1650000</v>
      </c>
      <c r="D16" s="8" t="s">
        <v>131</v>
      </c>
      <c r="E16" s="11" t="s">
        <v>118</v>
      </c>
      <c r="F16" s="14" t="n">
        <f aca="false">(B16/((B13/B15)))</f>
        <v>1583234.53608247</v>
      </c>
      <c r="G16" s="13" t="s">
        <v>74</v>
      </c>
    </row>
    <row r="17" customFormat="false" ht="15" hidden="false" customHeight="false" outlineLevel="0" collapsed="false">
      <c r="A17" s="8" t="s">
        <v>132</v>
      </c>
      <c r="B17" s="9" t="n">
        <v>42</v>
      </c>
      <c r="D17" s="8" t="s">
        <v>75</v>
      </c>
      <c r="E17" s="11" t="s">
        <v>118</v>
      </c>
      <c r="F17" s="12" t="n">
        <f aca="false">((B18+B19)/B17)</f>
        <v>0.0238095238095238</v>
      </c>
      <c r="G17" s="13" t="s">
        <v>74</v>
      </c>
    </row>
    <row r="18" customFormat="false" ht="15" hidden="false" customHeight="false" outlineLevel="0" collapsed="false">
      <c r="A18" s="8" t="s">
        <v>133</v>
      </c>
      <c r="B18" s="9" t="n">
        <v>1</v>
      </c>
    </row>
    <row r="19" customFormat="false" ht="15" hidden="false" customHeight="false" outlineLevel="0" collapsed="false">
      <c r="A19" s="8" t="s">
        <v>134</v>
      </c>
      <c r="B19" s="9" t="n">
        <v>0</v>
      </c>
    </row>
  </sheetData>
  <mergeCells count="4">
    <mergeCell ref="A1:H1"/>
    <mergeCell ref="A2:H2"/>
    <mergeCell ref="A4:B4"/>
    <mergeCell ref="D4:G4"/>
  </mergeCells>
  <conditionalFormatting sqref="G6:G17">
    <cfRule type="cellIs" priority="2" operator="equal" aboveAverage="0" equalAverage="0" bottom="0" percent="0" rank="0" text="" dxfId="0">
      <formula>"P1"</formula>
    </cfRule>
    <cfRule type="cellIs" priority="3" operator="equal" aboveAverage="0" equalAverage="0" bottom="0" percent="0" rank="0" text="" dxfId="1">
      <formula>"P2"</formula>
    </cfRule>
    <cfRule type="cellIs" priority="4" operator="equal" aboveAverage="0" equalAverage="0" bottom="0" percent="0" rank="0" text="" dxfId="2">
      <formula>"P3"</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13" min="2" style="1" width="9"/>
  </cols>
  <sheetData>
    <row r="1" customFormat="false" ht="19.7" hidden="false" customHeight="false" outlineLevel="0" collapsed="false">
      <c r="A1" s="2" t="s">
        <v>135</v>
      </c>
      <c r="B1" s="2"/>
      <c r="C1" s="2"/>
      <c r="D1" s="2"/>
      <c r="E1" s="2"/>
      <c r="F1" s="2"/>
      <c r="G1" s="2"/>
      <c r="H1" s="2"/>
      <c r="I1" s="2"/>
      <c r="J1" s="2"/>
      <c r="K1" s="2"/>
      <c r="L1" s="2"/>
      <c r="M1" s="2"/>
      <c r="N1" s="2"/>
    </row>
    <row r="2" customFormat="false" ht="15" hidden="false" customHeight="false" outlineLevel="0" collapsed="false">
      <c r="A2" s="3" t="s">
        <v>136</v>
      </c>
      <c r="B2" s="3"/>
      <c r="C2" s="3"/>
      <c r="D2" s="3"/>
      <c r="E2" s="3"/>
      <c r="F2" s="3"/>
      <c r="G2" s="3"/>
      <c r="H2" s="3"/>
      <c r="I2" s="3"/>
      <c r="J2" s="3"/>
      <c r="K2" s="3"/>
      <c r="L2" s="3"/>
      <c r="M2" s="3"/>
      <c r="N2" s="3"/>
    </row>
    <row r="4" customFormat="false" ht="15" hidden="false" customHeight="false" outlineLevel="0" collapsed="false">
      <c r="A4" s="16" t="s">
        <v>3</v>
      </c>
      <c r="B4" s="17" t="s">
        <v>137</v>
      </c>
      <c r="C4" s="17" t="s">
        <v>138</v>
      </c>
      <c r="D4" s="17" t="s">
        <v>139</v>
      </c>
      <c r="E4" s="17" t="s">
        <v>140</v>
      </c>
      <c r="F4" s="17" t="s">
        <v>141</v>
      </c>
      <c r="G4" s="17" t="s">
        <v>142</v>
      </c>
      <c r="H4" s="17" t="s">
        <v>143</v>
      </c>
      <c r="I4" s="17" t="s">
        <v>144</v>
      </c>
      <c r="J4" s="17" t="s">
        <v>145</v>
      </c>
      <c r="K4" s="17" t="s">
        <v>146</v>
      </c>
      <c r="L4" s="17" t="s">
        <v>147</v>
      </c>
      <c r="M4" s="17" t="s">
        <v>148</v>
      </c>
    </row>
    <row r="5" customFormat="false" ht="15" hidden="false" customHeight="false" outlineLevel="0" collapsed="false">
      <c r="A5" s="18" t="s">
        <v>55</v>
      </c>
      <c r="B5" s="19" t="n">
        <v>0.794</v>
      </c>
      <c r="C5" s="19" t="n">
        <v>0.807</v>
      </c>
      <c r="D5" s="19" t="n">
        <v>0.851</v>
      </c>
      <c r="E5" s="19" t="n">
        <v>0.796</v>
      </c>
      <c r="F5" s="19" t="n">
        <v>0.801</v>
      </c>
      <c r="G5" s="19" t="n">
        <v>0.81</v>
      </c>
      <c r="H5" s="19" t="n">
        <v>0.762</v>
      </c>
      <c r="I5" s="19" t="n">
        <v>0.801</v>
      </c>
      <c r="J5" s="19" t="n">
        <v>0.816</v>
      </c>
      <c r="K5" s="19" t="n">
        <v>0.835</v>
      </c>
      <c r="L5" s="19" t="n">
        <v>0.751</v>
      </c>
      <c r="M5" s="19" t="n">
        <v>0.776</v>
      </c>
    </row>
    <row r="6" customFormat="false" ht="15" hidden="false" customHeight="false" outlineLevel="0" collapsed="false">
      <c r="A6" s="18" t="s">
        <v>59</v>
      </c>
      <c r="B6" s="19" t="n">
        <v>0.828</v>
      </c>
      <c r="C6" s="19" t="n">
        <v>0.869</v>
      </c>
      <c r="D6" s="19" t="n">
        <v>0.909</v>
      </c>
      <c r="E6" s="19" t="n">
        <v>0.828</v>
      </c>
      <c r="F6" s="19" t="n">
        <v>0.87</v>
      </c>
      <c r="G6" s="19" t="n">
        <v>0.879</v>
      </c>
      <c r="H6" s="19" t="n">
        <v>0.818</v>
      </c>
      <c r="I6" s="19" t="n">
        <v>0.856</v>
      </c>
      <c r="J6" s="19" t="n">
        <v>0.852</v>
      </c>
      <c r="K6" s="19" t="n">
        <v>0.866</v>
      </c>
      <c r="L6" s="19" t="n">
        <v>0.802</v>
      </c>
      <c r="M6" s="19" t="n">
        <v>0.808</v>
      </c>
    </row>
    <row r="7" customFormat="false" ht="15" hidden="false" customHeight="false" outlineLevel="0" collapsed="false">
      <c r="A7" s="18" t="s">
        <v>42</v>
      </c>
      <c r="B7" s="19" t="n">
        <v>0.339</v>
      </c>
      <c r="C7" s="19" t="n">
        <v>0.344</v>
      </c>
      <c r="D7" s="19" t="n">
        <v>0.323</v>
      </c>
      <c r="E7" s="19" t="n">
        <v>0.366</v>
      </c>
      <c r="F7" s="19" t="n">
        <v>0.364</v>
      </c>
      <c r="G7" s="19" t="n">
        <v>0.404</v>
      </c>
      <c r="H7" s="19" t="n">
        <v>0.372</v>
      </c>
      <c r="I7" s="19" t="n">
        <v>0.384</v>
      </c>
      <c r="J7" s="19" t="n">
        <v>0.37</v>
      </c>
      <c r="K7" s="19" t="n">
        <v>0.386</v>
      </c>
      <c r="L7" s="19" t="n">
        <v>0.366</v>
      </c>
      <c r="M7" s="19" t="n">
        <v>0.348</v>
      </c>
    </row>
    <row r="8" customFormat="false" ht="15" hidden="false" customHeight="false" outlineLevel="0" collapsed="false">
      <c r="A8" s="18" t="s">
        <v>149</v>
      </c>
      <c r="B8" s="19" t="n">
        <v>0.99</v>
      </c>
      <c r="C8" s="19" t="n">
        <v>0.99</v>
      </c>
      <c r="D8" s="19" t="n">
        <v>0.98</v>
      </c>
      <c r="E8" s="19" t="n">
        <v>0.972</v>
      </c>
      <c r="F8" s="19" t="n">
        <v>0.949</v>
      </c>
      <c r="G8" s="19" t="n">
        <v>0.944</v>
      </c>
      <c r="H8" s="19" t="n">
        <v>0.947</v>
      </c>
      <c r="I8" s="19" t="n">
        <v>0.934</v>
      </c>
      <c r="J8" s="19" t="n">
        <v>0.976</v>
      </c>
      <c r="K8" s="19" t="n">
        <v>0.954</v>
      </c>
      <c r="L8" s="19" t="n">
        <v>0.981</v>
      </c>
      <c r="M8" s="19" t="n">
        <v>0.953</v>
      </c>
    </row>
    <row r="9" customFormat="false" ht="15" hidden="false" customHeight="false" outlineLevel="0" collapsed="false">
      <c r="A9" s="18" t="s">
        <v>150</v>
      </c>
      <c r="B9" s="20" t="n">
        <v>4.67</v>
      </c>
      <c r="C9" s="20" t="n">
        <v>4.61</v>
      </c>
      <c r="D9" s="20" t="n">
        <v>4.1</v>
      </c>
      <c r="E9" s="20" t="n">
        <v>4.23</v>
      </c>
      <c r="F9" s="20" t="n">
        <v>4.65</v>
      </c>
      <c r="G9" s="20" t="n">
        <v>4.38</v>
      </c>
      <c r="H9" s="20" t="n">
        <v>4.69</v>
      </c>
      <c r="I9" s="20" t="n">
        <v>4.34</v>
      </c>
      <c r="J9" s="20" t="n">
        <v>4.14</v>
      </c>
      <c r="K9" s="20" t="n">
        <v>4.48</v>
      </c>
      <c r="L9" s="20" t="n">
        <v>4.57</v>
      </c>
      <c r="M9" s="20" t="n">
        <v>4.26</v>
      </c>
    </row>
    <row r="10" customFormat="false" ht="15" hidden="false" customHeight="false" outlineLevel="0" collapsed="false">
      <c r="A10" s="21" t="s">
        <v>151</v>
      </c>
      <c r="B10" s="19" t="n">
        <v>0.95</v>
      </c>
      <c r="C10" s="19" t="n">
        <v>0.95</v>
      </c>
      <c r="D10" s="19" t="n">
        <v>0.95</v>
      </c>
      <c r="E10" s="19" t="n">
        <v>0.95</v>
      </c>
      <c r="F10" s="19" t="n">
        <v>0.95</v>
      </c>
      <c r="G10" s="19" t="n">
        <v>0.95</v>
      </c>
      <c r="H10" s="19" t="n">
        <v>0.95</v>
      </c>
      <c r="I10" s="19" t="n">
        <v>0.95</v>
      </c>
      <c r="J10" s="19" t="n">
        <v>0.95</v>
      </c>
      <c r="K10" s="19" t="n">
        <v>0.95</v>
      </c>
      <c r="L10" s="19" t="n">
        <v>0.95</v>
      </c>
      <c r="M10" s="19" t="n">
        <v>0.95</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6" min="2" style="1" width="17"/>
  </cols>
  <sheetData>
    <row r="1" customFormat="false" ht="19.7" hidden="false" customHeight="false" outlineLevel="0" collapsed="false">
      <c r="A1" s="2" t="s">
        <v>152</v>
      </c>
      <c r="B1" s="2"/>
      <c r="C1" s="2"/>
      <c r="D1" s="2"/>
      <c r="E1" s="2"/>
      <c r="F1" s="2"/>
    </row>
    <row r="3" customFormat="false" ht="60" hidden="false" customHeight="true" outlineLevel="0" collapsed="false">
      <c r="A3" s="22" t="s">
        <v>153</v>
      </c>
      <c r="B3" s="23" t="s">
        <v>154</v>
      </c>
      <c r="C3" s="23"/>
      <c r="D3" s="23"/>
      <c r="E3" s="23"/>
      <c r="F3" s="23"/>
    </row>
    <row r="5" customFormat="false" ht="60" hidden="false" customHeight="true" outlineLevel="0" collapsed="false">
      <c r="A5" s="22" t="s">
        <v>155</v>
      </c>
      <c r="B5" s="23" t="s">
        <v>156</v>
      </c>
      <c r="C5" s="23"/>
      <c r="D5" s="23"/>
      <c r="E5" s="23"/>
      <c r="F5" s="23"/>
    </row>
    <row r="7" customFormat="false" ht="60" hidden="false" customHeight="true" outlineLevel="0" collapsed="false">
      <c r="A7" s="22" t="s">
        <v>157</v>
      </c>
      <c r="B7" s="23" t="s">
        <v>158</v>
      </c>
      <c r="C7" s="23"/>
      <c r="D7" s="23"/>
      <c r="E7" s="23"/>
      <c r="F7" s="23"/>
    </row>
    <row r="9" customFormat="false" ht="60" hidden="false" customHeight="true" outlineLevel="0" collapsed="false">
      <c r="A9" s="22" t="s">
        <v>159</v>
      </c>
      <c r="B9" s="23" t="s">
        <v>160</v>
      </c>
      <c r="C9" s="23"/>
      <c r="D9" s="23"/>
      <c r="E9" s="23"/>
      <c r="F9" s="23"/>
    </row>
    <row r="11" customFormat="false" ht="60" hidden="false" customHeight="true" outlineLevel="0" collapsed="false">
      <c r="A11" s="22" t="s">
        <v>161</v>
      </c>
      <c r="B11" s="23" t="s">
        <v>162</v>
      </c>
      <c r="C11" s="23"/>
      <c r="D11" s="23"/>
      <c r="E11" s="23"/>
      <c r="F11" s="23"/>
    </row>
    <row r="13" customFormat="false" ht="60" hidden="false" customHeight="true" outlineLevel="0" collapsed="false">
      <c r="A13" s="22" t="s">
        <v>163</v>
      </c>
      <c r="B13" s="23" t="s">
        <v>164</v>
      </c>
      <c r="C13" s="23"/>
      <c r="D13" s="23"/>
      <c r="E13" s="23"/>
      <c r="F13" s="23"/>
    </row>
  </sheetData>
  <mergeCells count="7">
    <mergeCell ref="A1:F1"/>
    <mergeCell ref="B3:F3"/>
    <mergeCell ref="B5:F5"/>
    <mergeCell ref="B7:F7"/>
    <mergeCell ref="B9:F9"/>
    <mergeCell ref="B11:F11"/>
    <mergeCell ref="B13:F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2026-06-24T16:20:30Z</dcterms:created>
  <dc:creator>openpyxl</dc:creator>
  <dc:description/>
  <dc:language>en-US</dc:language>
  <cp:lastModifiedBy/>
  <dcterms:modified xsi:type="dcterms:W3CDTF">2026-06-24T16:25:02Z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